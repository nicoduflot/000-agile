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amp64\www\000-agile\documents\sprint\"/>
    </mc:Choice>
  </mc:AlternateContent>
  <xr:revisionPtr revIDLastSave="0" documentId="13_ncr:1_{CCFF74C8-7346-40ED-821E-032C11CA2E88}" xr6:coauthVersionLast="47" xr6:coauthVersionMax="47" xr10:uidLastSave="{00000000-0000-0000-0000-000000000000}"/>
  <bookViews>
    <workbookView xWindow="29250" yWindow="360" windowWidth="22110" windowHeight="12555" xr2:uid="{240C528E-C664-4C79-A268-6A38B1567254}"/>
  </bookViews>
  <sheets>
    <sheet name="sprint idéal" sheetId="1" r:id="rId1"/>
    <sheet name="sprint 35" sheetId="2" r:id="rId2"/>
    <sheet name="sprint 36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" l="1"/>
  <c r="B4" i="1"/>
  <c r="D1" i="3"/>
  <c r="F1" i="3" s="1"/>
  <c r="B4" i="3" s="1"/>
  <c r="B1" i="3"/>
  <c r="B1" i="2"/>
  <c r="B15" i="1"/>
  <c r="B16" i="1" s="1"/>
  <c r="D1" i="2" s="1"/>
  <c r="F1" i="2" l="1"/>
  <c r="B9" i="2" s="1"/>
  <c r="B4" i="2" l="1"/>
  <c r="E9" i="2"/>
  <c r="F9" i="2"/>
  <c r="G9" i="2"/>
  <c r="H9" i="2"/>
  <c r="I9" i="2"/>
  <c r="J9" i="2"/>
  <c r="K9" i="2"/>
  <c r="L9" i="2"/>
  <c r="D9" i="2"/>
  <c r="C9" i="2"/>
  <c r="D4" i="1"/>
  <c r="E4" i="1"/>
  <c r="H4" i="1"/>
  <c r="I4" i="1"/>
  <c r="K4" i="1"/>
  <c r="F4" i="1"/>
  <c r="C4" i="1"/>
  <c r="G4" i="1"/>
  <c r="J4" i="1"/>
  <c r="B12" i="1" l="1"/>
  <c r="B13" i="1" s="1"/>
  <c r="B18" i="1" s="1"/>
  <c r="B17" i="1" l="1"/>
</calcChain>
</file>

<file path=xl/sharedStrings.xml><?xml version="1.0" encoding="utf-8"?>
<sst xmlns="http://schemas.openxmlformats.org/spreadsheetml/2006/main" count="43" uniqueCount="32">
  <si>
    <t>Lun</t>
  </si>
  <si>
    <t>Mar</t>
  </si>
  <si>
    <t>Jeu</t>
  </si>
  <si>
    <t>Mer</t>
  </si>
  <si>
    <t>Ven</t>
  </si>
  <si>
    <t>Heure / Ressource</t>
  </si>
  <si>
    <t>Sprint Planning</t>
  </si>
  <si>
    <t>Dev</t>
  </si>
  <si>
    <t>Daily</t>
  </si>
  <si>
    <t>Review</t>
  </si>
  <si>
    <t>Retro</t>
  </si>
  <si>
    <t>Nb Développeurs</t>
  </si>
  <si>
    <t>Heures Homme par sprint</t>
  </si>
  <si>
    <t>Sp / Dev / jour</t>
  </si>
  <si>
    <t>Sp total dev /jour</t>
  </si>
  <si>
    <t>Sp dev / sprint</t>
  </si>
  <si>
    <t>Heures / homme / sprint</t>
  </si>
  <si>
    <t>Nb JH réel</t>
  </si>
  <si>
    <t>heures / jourH</t>
  </si>
  <si>
    <t>JH</t>
  </si>
  <si>
    <t>Note</t>
  </si>
  <si>
    <t>Marco à pris une semaine de congé</t>
  </si>
  <si>
    <t>JH Théorique</t>
  </si>
  <si>
    <t>SP théorique</t>
  </si>
  <si>
    <t>Coef Vélocité</t>
  </si>
  <si>
    <t>Vélocité du sprint</t>
  </si>
  <si>
    <t>Marco à pris 2 jours</t>
  </si>
  <si>
    <t>SP validé</t>
  </si>
  <si>
    <t>Sp Restant</t>
  </si>
  <si>
    <t>Jour de sprint</t>
  </si>
  <si>
    <t>Durée d'un jour homme</t>
  </si>
  <si>
    <t>Temps satellite projet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</si>
</sst>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4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0" borderId="1" xfId="0" applyBorder="1"/>
    <xf numFmtId="0" fontId="0" fillId="3" borderId="0" xfId="0" applyFill="1"/>
    <xf numFmtId="0" fontId="0" fillId="3" borderId="1" xfId="0" applyFill="1" applyBorder="1"/>
    <xf numFmtId="0" fontId="0" fillId="4" borderId="0" xfId="0" applyFill="1"/>
    <xf numFmtId="0" fontId="0" fillId="4" borderId="1" xfId="0" applyFill="1" applyBorder="1"/>
    <xf numFmtId="0" fontId="0" fillId="5" borderId="0" xfId="0" applyFill="1"/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C9E21-B05A-4D28-B32C-9D5E2A03B9C5}">
  <dimension ref="A1:K18"/>
  <sheetViews>
    <sheetView tabSelected="1" workbookViewId="0">
      <selection activeCell="K9" sqref="K9"/>
    </sheetView>
  </sheetViews>
  <sheetFormatPr baseColWidth="10" defaultRowHeight="18.75" x14ac:dyDescent="0.3"/>
  <cols>
    <col min="1" max="1" width="21" customWidth="1"/>
    <col min="4" max="4" width="11.8984375" customWidth="1"/>
  </cols>
  <sheetData>
    <row r="1" spans="1:11" x14ac:dyDescent="0.3">
      <c r="A1" t="s">
        <v>30</v>
      </c>
      <c r="B1">
        <v>7.5</v>
      </c>
    </row>
    <row r="3" spans="1:11" x14ac:dyDescent="0.3">
      <c r="A3" t="s">
        <v>5</v>
      </c>
      <c r="B3" t="s">
        <v>0</v>
      </c>
      <c r="C3" t="s">
        <v>1</v>
      </c>
      <c r="D3" t="s">
        <v>3</v>
      </c>
      <c r="E3" t="s">
        <v>2</v>
      </c>
      <c r="F3" t="s">
        <v>4</v>
      </c>
      <c r="G3" t="s">
        <v>0</v>
      </c>
      <c r="H3" t="s">
        <v>1</v>
      </c>
      <c r="I3" t="s">
        <v>3</v>
      </c>
      <c r="J3" t="s">
        <v>2</v>
      </c>
      <c r="K3" t="s">
        <v>4</v>
      </c>
    </row>
    <row r="4" spans="1:11" x14ac:dyDescent="0.3">
      <c r="A4" t="s">
        <v>7</v>
      </c>
      <c r="B4" s="1">
        <f>$B$1-(SUM(B5:B8))</f>
        <v>3.25</v>
      </c>
      <c r="C4" s="1">
        <f t="shared" ref="C4:K4" si="0">$B$1-(SUM(C5:C9))</f>
        <v>7.25</v>
      </c>
      <c r="D4" s="1">
        <f t="shared" si="0"/>
        <v>7.25</v>
      </c>
      <c r="E4" s="1">
        <f t="shared" si="0"/>
        <v>7.25</v>
      </c>
      <c r="F4" s="1">
        <f t="shared" si="0"/>
        <v>7.25</v>
      </c>
      <c r="G4" s="1">
        <f t="shared" si="0"/>
        <v>7.25</v>
      </c>
      <c r="H4" s="1">
        <f t="shared" si="0"/>
        <v>7.25</v>
      </c>
      <c r="I4" s="1">
        <f t="shared" si="0"/>
        <v>7.25</v>
      </c>
      <c r="J4" s="1">
        <f t="shared" si="0"/>
        <v>7.25</v>
      </c>
      <c r="K4" s="1">
        <f t="shared" si="0"/>
        <v>0</v>
      </c>
    </row>
    <row r="5" spans="1:11" x14ac:dyDescent="0.3">
      <c r="A5" s="3" t="s">
        <v>6</v>
      </c>
      <c r="B5" s="4">
        <v>4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</row>
    <row r="6" spans="1:11" x14ac:dyDescent="0.3">
      <c r="A6" s="5" t="s">
        <v>8</v>
      </c>
      <c r="B6" s="6">
        <v>0.25</v>
      </c>
      <c r="C6" s="6">
        <v>0.25</v>
      </c>
      <c r="D6" s="6">
        <v>0.25</v>
      </c>
      <c r="E6" s="6">
        <v>0.25</v>
      </c>
      <c r="F6" s="6">
        <v>0.25</v>
      </c>
      <c r="G6" s="6">
        <v>0.25</v>
      </c>
      <c r="H6" s="6">
        <v>0.25</v>
      </c>
      <c r="I6" s="6">
        <v>0.25</v>
      </c>
      <c r="J6" s="6">
        <v>0.25</v>
      </c>
      <c r="K6" s="6">
        <v>0.25</v>
      </c>
    </row>
    <row r="7" spans="1:11" x14ac:dyDescent="0.3">
      <c r="A7" s="7" t="s">
        <v>9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2</v>
      </c>
    </row>
    <row r="8" spans="1:11" x14ac:dyDescent="0.3">
      <c r="A8" s="7" t="s">
        <v>10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1.5</v>
      </c>
    </row>
    <row r="9" spans="1:11" x14ac:dyDescent="0.3">
      <c r="A9" t="s">
        <v>31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f>$B$1 - SUM(K5:K8)</f>
        <v>3.75</v>
      </c>
    </row>
    <row r="11" spans="1:11" x14ac:dyDescent="0.3">
      <c r="A11" t="s">
        <v>11</v>
      </c>
      <c r="B11">
        <v>4</v>
      </c>
    </row>
    <row r="12" spans="1:11" x14ac:dyDescent="0.3">
      <c r="A12" t="s">
        <v>16</v>
      </c>
      <c r="B12" s="1">
        <f>SUM(B4:K4)</f>
        <v>61.25</v>
      </c>
    </row>
    <row r="13" spans="1:11" x14ac:dyDescent="0.3">
      <c r="A13" t="s">
        <v>12</v>
      </c>
      <c r="B13" s="1">
        <f>$B11*$B12</f>
        <v>245</v>
      </c>
    </row>
    <row r="14" spans="1:11" x14ac:dyDescent="0.3">
      <c r="A14" t="s">
        <v>13</v>
      </c>
      <c r="B14">
        <v>1.9</v>
      </c>
    </row>
    <row r="15" spans="1:11" x14ac:dyDescent="0.3">
      <c r="A15" t="s">
        <v>14</v>
      </c>
      <c r="B15" s="1">
        <f>$B14*$B11</f>
        <v>7.6</v>
      </c>
    </row>
    <row r="16" spans="1:11" x14ac:dyDescent="0.3">
      <c r="A16" t="s">
        <v>15</v>
      </c>
      <c r="B16" s="1">
        <f>$B15*10</f>
        <v>76</v>
      </c>
    </row>
    <row r="17" spans="1:2" x14ac:dyDescent="0.3">
      <c r="A17" t="s">
        <v>17</v>
      </c>
      <c r="B17">
        <f>$B13/$B$1</f>
        <v>32.666666666666664</v>
      </c>
    </row>
    <row r="18" spans="1:2" x14ac:dyDescent="0.3">
      <c r="A18" t="s">
        <v>18</v>
      </c>
      <c r="B18">
        <f>B13/B11/10</f>
        <v>6.125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52D0D-6B61-4439-A5C0-B16E1F83766B}">
  <dimension ref="A1:L9"/>
  <sheetViews>
    <sheetView zoomScale="85" zoomScaleNormal="85" workbookViewId="0">
      <selection activeCell="D13" sqref="D13"/>
    </sheetView>
  </sheetViews>
  <sheetFormatPr baseColWidth="10" defaultRowHeight="18.75" x14ac:dyDescent="0.3"/>
  <cols>
    <col min="1" max="1" width="15.8984375" customWidth="1"/>
  </cols>
  <sheetData>
    <row r="1" spans="1:12" x14ac:dyDescent="0.3">
      <c r="A1" t="s">
        <v>22</v>
      </c>
      <c r="B1">
        <f>('sprint idéal'!$B11*10)</f>
        <v>40</v>
      </c>
      <c r="C1" t="s">
        <v>23</v>
      </c>
      <c r="D1">
        <f>'sprint idéal'!$B16</f>
        <v>76</v>
      </c>
      <c r="E1" t="s">
        <v>24</v>
      </c>
      <c r="F1">
        <f>$D1/$B1</f>
        <v>1.9</v>
      </c>
    </row>
    <row r="2" spans="1:12" x14ac:dyDescent="0.3">
      <c r="A2" t="s">
        <v>19</v>
      </c>
      <c r="B2">
        <v>35</v>
      </c>
      <c r="C2" t="s">
        <v>20</v>
      </c>
      <c r="D2" t="s">
        <v>21</v>
      </c>
    </row>
    <row r="4" spans="1:12" x14ac:dyDescent="0.3">
      <c r="A4" t="s">
        <v>25</v>
      </c>
      <c r="B4">
        <f>B2*$F1</f>
        <v>66.5</v>
      </c>
    </row>
    <row r="7" spans="1:12" x14ac:dyDescent="0.3">
      <c r="A7" t="s">
        <v>29</v>
      </c>
      <c r="B7">
        <v>0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</row>
    <row r="8" spans="1:12" x14ac:dyDescent="0.3">
      <c r="A8" t="s">
        <v>27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2" x14ac:dyDescent="0.3">
      <c r="A9" t="s">
        <v>28</v>
      </c>
      <c r="B9">
        <f>B2*$F1</f>
        <v>66.5</v>
      </c>
      <c r="C9">
        <f>$B9-C8</f>
        <v>66.5</v>
      </c>
      <c r="D9">
        <f>$B9-(SUM($C8:D8))</f>
        <v>66.5</v>
      </c>
      <c r="E9">
        <f>$B9-(SUM($C8:E8))</f>
        <v>66.5</v>
      </c>
      <c r="F9">
        <f>$B9-(SUM($C8:F8))</f>
        <v>66.5</v>
      </c>
      <c r="G9">
        <f>$B9-(SUM($C8:G8))</f>
        <v>66.5</v>
      </c>
      <c r="H9">
        <f>$B9-(SUM($C8:H8))</f>
        <v>66.5</v>
      </c>
      <c r="I9">
        <f>$B9-(SUM($C8:I8))</f>
        <v>66.5</v>
      </c>
      <c r="J9">
        <f>$B9-(SUM($C8:J8))</f>
        <v>66.5</v>
      </c>
      <c r="K9">
        <f>$B9-(SUM($C8:K8))</f>
        <v>66.5</v>
      </c>
      <c r="L9">
        <f>$B9-(SUM($C8:L8))</f>
        <v>66.5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974C2-474C-43C7-A94D-FE871B19DD4C}">
  <dimension ref="A1:F4"/>
  <sheetViews>
    <sheetView workbookViewId="0">
      <selection activeCell="B4" sqref="B4"/>
    </sheetView>
  </sheetViews>
  <sheetFormatPr baseColWidth="10" defaultRowHeight="18.75" x14ac:dyDescent="0.3"/>
  <cols>
    <col min="1" max="1" width="15.8984375" customWidth="1"/>
  </cols>
  <sheetData>
    <row r="1" spans="1:6" x14ac:dyDescent="0.3">
      <c r="A1" t="s">
        <v>22</v>
      </c>
      <c r="B1">
        <f>('sprint idéal'!$B11*10)</f>
        <v>40</v>
      </c>
      <c r="C1" t="s">
        <v>23</v>
      </c>
      <c r="D1">
        <f>'sprint idéal'!$B16</f>
        <v>76</v>
      </c>
      <c r="E1" t="s">
        <v>24</v>
      </c>
      <c r="F1">
        <f>$D1/$B1</f>
        <v>1.9</v>
      </c>
    </row>
    <row r="2" spans="1:6" x14ac:dyDescent="0.3">
      <c r="A2" t="s">
        <v>19</v>
      </c>
      <c r="B2">
        <v>28</v>
      </c>
      <c r="C2" t="s">
        <v>20</v>
      </c>
      <c r="D2" t="s">
        <v>26</v>
      </c>
    </row>
    <row r="4" spans="1:6" x14ac:dyDescent="0.3">
      <c r="A4" t="s">
        <v>25</v>
      </c>
      <c r="B4">
        <f>ROUNDDOWN(B2*$F1,0)</f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sprint idéal</vt:lpstr>
      <vt:lpstr>sprint 35</vt:lpstr>
      <vt:lpstr>sprint 36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DUFLOT</dc:creator>
  <cp:lastModifiedBy>Nicolas DUFLOT</cp:lastModifiedBy>
  <dcterms:created xsi:type="dcterms:W3CDTF">2026-01-07T12:59:08Z</dcterms:created>
  <dcterms:modified xsi:type="dcterms:W3CDTF">2026-05-06T09:43:08Z</dcterms:modified>
</cp:coreProperties>
</file>