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mp64\www\000-agile\documents\sprint\"/>
    </mc:Choice>
  </mc:AlternateContent>
  <xr:revisionPtr revIDLastSave="0" documentId="8_{40DBB49E-ADB6-480F-96E7-0056B3C393AF}" xr6:coauthVersionLast="47" xr6:coauthVersionMax="47" xr10:uidLastSave="{00000000-0000-0000-0000-000000000000}"/>
  <bookViews>
    <workbookView xWindow="28680" yWindow="-120" windowWidth="24240" windowHeight="13740" activeTab="2" xr2:uid="{240C528E-C664-4C79-A268-6A38B1567254}"/>
  </bookViews>
  <sheets>
    <sheet name="sprint idéal" sheetId="1" r:id="rId1"/>
    <sheet name="sprint 35" sheetId="2" r:id="rId2"/>
    <sheet name="sprint 3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F1" i="3"/>
  <c r="D1" i="3"/>
  <c r="B1" i="3"/>
  <c r="F1" i="2"/>
  <c r="D1" i="2"/>
  <c r="B1" i="2"/>
  <c r="B17" i="1"/>
  <c r="B16" i="1"/>
  <c r="B14" i="1"/>
  <c r="B15" i="1" s="1"/>
  <c r="B3" i="1"/>
  <c r="B11" i="1" s="1"/>
  <c r="C3" i="1"/>
  <c r="D3" i="1"/>
  <c r="E3" i="1"/>
  <c r="F3" i="1"/>
  <c r="G3" i="1"/>
  <c r="H3" i="1"/>
  <c r="I3" i="1"/>
  <c r="J3" i="1"/>
  <c r="K3" i="1"/>
  <c r="B4" i="2" l="1"/>
  <c r="B12" i="1"/>
</calcChain>
</file>

<file path=xl/sharedStrings.xml><?xml version="1.0" encoding="utf-8"?>
<sst xmlns="http://schemas.openxmlformats.org/spreadsheetml/2006/main" count="39" uniqueCount="28">
  <si>
    <t>Lun</t>
  </si>
  <si>
    <t>Mar</t>
  </si>
  <si>
    <t>Jeu</t>
  </si>
  <si>
    <t>Mer</t>
  </si>
  <si>
    <t>Ven</t>
  </si>
  <si>
    <t>Heure / Ressource</t>
  </si>
  <si>
    <t>Sprint Planning</t>
  </si>
  <si>
    <t>Dev</t>
  </si>
  <si>
    <t>Daily</t>
  </si>
  <si>
    <t>Review</t>
  </si>
  <si>
    <t>Retro</t>
  </si>
  <si>
    <t>Temps satélite projet</t>
  </si>
  <si>
    <t>Nb Développeurs</t>
  </si>
  <si>
    <t>Heures Homme par sprint</t>
  </si>
  <si>
    <t>Sp / Dev / jour</t>
  </si>
  <si>
    <t>Sp total dev /jour</t>
  </si>
  <si>
    <t>Sp dev / sprint</t>
  </si>
  <si>
    <t>Heures / homme / sprint</t>
  </si>
  <si>
    <t>Nb JH réel</t>
  </si>
  <si>
    <t>heures / jourH</t>
  </si>
  <si>
    <t>JH</t>
  </si>
  <si>
    <t>Note</t>
  </si>
  <si>
    <t>Marco à pris une semaine de congé</t>
  </si>
  <si>
    <t>JH Théorique</t>
  </si>
  <si>
    <t>SP théorique</t>
  </si>
  <si>
    <t>Coef Vélocité</t>
  </si>
  <si>
    <t>Vélocité du sprint</t>
  </si>
  <si>
    <t>Marco à pris 2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</si>
</sst>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9E21-B05A-4D28-B32C-9D5E2A03B9C5}">
  <dimension ref="A2:K17"/>
  <sheetViews>
    <sheetView workbookViewId="0">
      <selection activeCell="B10" sqref="B10"/>
    </sheetView>
  </sheetViews>
  <sheetFormatPr baseColWidth="10" defaultRowHeight="18.75" x14ac:dyDescent="0.3"/>
  <cols>
    <col min="1" max="1" width="21" customWidth="1"/>
    <col min="4" max="4" width="11.8984375" customWidth="1"/>
  </cols>
  <sheetData>
    <row r="2" spans="1:11" x14ac:dyDescent="0.3">
      <c r="A2" t="s">
        <v>5</v>
      </c>
      <c r="B2" t="s">
        <v>0</v>
      </c>
      <c r="C2" t="s">
        <v>1</v>
      </c>
      <c r="D2" t="s">
        <v>3</v>
      </c>
      <c r="E2" t="s">
        <v>2</v>
      </c>
      <c r="F2" t="s">
        <v>4</v>
      </c>
      <c r="G2" t="s">
        <v>0</v>
      </c>
      <c r="H2" t="s">
        <v>1</v>
      </c>
      <c r="I2" t="s">
        <v>3</v>
      </c>
      <c r="J2" t="s">
        <v>2</v>
      </c>
      <c r="K2" t="s">
        <v>4</v>
      </c>
    </row>
    <row r="3" spans="1:11" x14ac:dyDescent="0.3">
      <c r="A3" t="s">
        <v>7</v>
      </c>
      <c r="B3" s="1">
        <f t="shared" ref="B3:J3" si="0">8-(SUM(B4:B8))</f>
        <v>4</v>
      </c>
      <c r="C3" s="1">
        <f t="shared" si="0"/>
        <v>7.75</v>
      </c>
      <c r="D3" s="1">
        <f t="shared" si="0"/>
        <v>7.75</v>
      </c>
      <c r="E3" s="1">
        <f t="shared" si="0"/>
        <v>7.75</v>
      </c>
      <c r="F3" s="1">
        <f t="shared" si="0"/>
        <v>7.75</v>
      </c>
      <c r="G3" s="1">
        <f t="shared" si="0"/>
        <v>7.75</v>
      </c>
      <c r="H3" s="1">
        <f t="shared" si="0"/>
        <v>7.75</v>
      </c>
      <c r="I3" s="1">
        <f t="shared" si="0"/>
        <v>7.75</v>
      </c>
      <c r="J3" s="1">
        <f t="shared" si="0"/>
        <v>7.75</v>
      </c>
      <c r="K3" s="1">
        <f>8-(SUM(K4:K8))</f>
        <v>6.25</v>
      </c>
    </row>
    <row r="4" spans="1:11" x14ac:dyDescent="0.3">
      <c r="A4" s="3" t="s">
        <v>6</v>
      </c>
      <c r="B4" s="4">
        <v>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3">
      <c r="A5" s="5" t="s">
        <v>8</v>
      </c>
      <c r="B5" s="6">
        <v>0</v>
      </c>
      <c r="C5" s="6">
        <v>0.25</v>
      </c>
      <c r="D5" s="6">
        <v>0.25</v>
      </c>
      <c r="E5" s="6">
        <v>0.25</v>
      </c>
      <c r="F5" s="6">
        <v>0.25</v>
      </c>
      <c r="G5" s="6">
        <v>0.25</v>
      </c>
      <c r="H5" s="6">
        <v>0.25</v>
      </c>
      <c r="I5" s="6">
        <v>0.25</v>
      </c>
      <c r="J5" s="6">
        <v>0.25</v>
      </c>
      <c r="K5" s="6">
        <v>0.25</v>
      </c>
    </row>
    <row r="6" spans="1:11" x14ac:dyDescent="0.3">
      <c r="A6" s="7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</row>
    <row r="7" spans="1:11" x14ac:dyDescent="0.3">
      <c r="A7" s="7" t="s">
        <v>10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0.5</v>
      </c>
    </row>
    <row r="8" spans="1:11" x14ac:dyDescent="0.3">
      <c r="A8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10" spans="1:11" x14ac:dyDescent="0.3">
      <c r="A10" t="s">
        <v>12</v>
      </c>
      <c r="B10">
        <v>3</v>
      </c>
    </row>
    <row r="11" spans="1:11" x14ac:dyDescent="0.3">
      <c r="A11" t="s">
        <v>17</v>
      </c>
      <c r="B11" s="1">
        <f>SUM(B3:K3)</f>
        <v>72.25</v>
      </c>
    </row>
    <row r="12" spans="1:11" x14ac:dyDescent="0.3">
      <c r="A12" t="s">
        <v>13</v>
      </c>
      <c r="B12" s="1">
        <f>$B10*$B11</f>
        <v>216.75</v>
      </c>
    </row>
    <row r="13" spans="1:11" x14ac:dyDescent="0.3">
      <c r="A13" t="s">
        <v>14</v>
      </c>
      <c r="B13">
        <v>1.9</v>
      </c>
    </row>
    <row r="14" spans="1:11" x14ac:dyDescent="0.3">
      <c r="A14" t="s">
        <v>15</v>
      </c>
      <c r="B14" s="1">
        <f>$B13*$B10</f>
        <v>5.6999999999999993</v>
      </c>
    </row>
    <row r="15" spans="1:11" x14ac:dyDescent="0.3">
      <c r="A15" t="s">
        <v>16</v>
      </c>
      <c r="B15" s="1">
        <f>$B14*10</f>
        <v>56.999999999999993</v>
      </c>
    </row>
    <row r="16" spans="1:11" x14ac:dyDescent="0.3">
      <c r="A16" t="s">
        <v>18</v>
      </c>
      <c r="B16">
        <f>$B12/8</f>
        <v>27.09375</v>
      </c>
    </row>
    <row r="17" spans="1:2" x14ac:dyDescent="0.3">
      <c r="A17" t="s">
        <v>19</v>
      </c>
      <c r="B17">
        <f>B12/B10/10</f>
        <v>7.2249999999999996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2D0D-6B61-4439-A5C0-B16E1F83766B}">
  <dimension ref="A1:F4"/>
  <sheetViews>
    <sheetView workbookViewId="0">
      <selection activeCell="E4" sqref="E4"/>
    </sheetView>
  </sheetViews>
  <sheetFormatPr baseColWidth="10" defaultRowHeight="18.75" x14ac:dyDescent="0.3"/>
  <cols>
    <col min="1" max="1" width="15.8984375" customWidth="1"/>
  </cols>
  <sheetData>
    <row r="1" spans="1:6" x14ac:dyDescent="0.3">
      <c r="A1" t="s">
        <v>23</v>
      </c>
      <c r="B1">
        <f>('sprint idéal'!$B10*10)</f>
        <v>30</v>
      </c>
      <c r="C1" t="s">
        <v>24</v>
      </c>
      <c r="D1">
        <f>'sprint idéal'!$B15</f>
        <v>56.999999999999993</v>
      </c>
      <c r="E1" t="s">
        <v>25</v>
      </c>
      <c r="F1">
        <f>$D1/$B1</f>
        <v>1.8999999999999997</v>
      </c>
    </row>
    <row r="2" spans="1:6" x14ac:dyDescent="0.3">
      <c r="A2" t="s">
        <v>20</v>
      </c>
      <c r="B2">
        <v>25</v>
      </c>
      <c r="C2" t="s">
        <v>21</v>
      </c>
      <c r="D2" t="s">
        <v>22</v>
      </c>
    </row>
    <row r="4" spans="1:6" x14ac:dyDescent="0.3">
      <c r="A4" t="s">
        <v>26</v>
      </c>
      <c r="B4">
        <f>B2*$F1</f>
        <v>47.499999999999993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74C2-474C-43C7-A94D-FE871B19DD4C}">
  <dimension ref="A1:F4"/>
  <sheetViews>
    <sheetView tabSelected="1" workbookViewId="0">
      <selection activeCell="C8" sqref="C8"/>
    </sheetView>
  </sheetViews>
  <sheetFormatPr baseColWidth="10" defaultRowHeight="18.75" x14ac:dyDescent="0.3"/>
  <cols>
    <col min="1" max="1" width="15.8984375" customWidth="1"/>
  </cols>
  <sheetData>
    <row r="1" spans="1:6" x14ac:dyDescent="0.3">
      <c r="A1" t="s">
        <v>23</v>
      </c>
      <c r="B1">
        <f>('sprint idéal'!$B10*10)</f>
        <v>30</v>
      </c>
      <c r="C1" t="s">
        <v>24</v>
      </c>
      <c r="D1">
        <f>'sprint idéal'!$B15</f>
        <v>56.999999999999993</v>
      </c>
      <c r="E1" t="s">
        <v>25</v>
      </c>
      <c r="F1">
        <f>$D1/$B1</f>
        <v>1.8999999999999997</v>
      </c>
    </row>
    <row r="2" spans="1:6" x14ac:dyDescent="0.3">
      <c r="A2" t="s">
        <v>20</v>
      </c>
      <c r="B2">
        <v>28</v>
      </c>
      <c r="C2" t="s">
        <v>21</v>
      </c>
      <c r="D2" t="s">
        <v>27</v>
      </c>
    </row>
    <row r="4" spans="1:6" x14ac:dyDescent="0.3">
      <c r="A4" t="s">
        <v>26</v>
      </c>
      <c r="B4">
        <f>ROUNDDOWN(B2*$F1,0)</f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sprint idéal</vt:lpstr>
      <vt:lpstr>sprint 35</vt:lpstr>
      <vt:lpstr>sprint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DUFLOT</dc:creator>
  <cp:lastModifiedBy>Nicolas DUFLOT</cp:lastModifiedBy>
  <dcterms:created xsi:type="dcterms:W3CDTF">2026-01-07T12:59:08Z</dcterms:created>
  <dcterms:modified xsi:type="dcterms:W3CDTF">2026-01-07T15:50:02Z</dcterms:modified>
</cp:coreProperties>
</file>